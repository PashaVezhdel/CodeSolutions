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38098\Desktop\UzhNU\Планування та обробка результатів досліджень об’єктів різної фізичної природи\"/>
    </mc:Choice>
  </mc:AlternateContent>
  <xr:revisionPtr revIDLastSave="0" documentId="8_{C84973F8-AED3-431B-A353-AED9E83280C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Розподіл Гауса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0" i="1" l="1"/>
  <c r="L26" i="1" l="1"/>
  <c r="L27" i="1"/>
  <c r="L28" i="1"/>
  <c r="L29" i="1" s="1"/>
  <c r="L25" i="1"/>
  <c r="L32" i="1"/>
  <c r="L31" i="1"/>
  <c r="D2" i="1"/>
  <c r="D1" i="1"/>
  <c r="C10" i="1" s="1"/>
  <c r="L33" i="1" l="1"/>
  <c r="D4" i="1"/>
  <c r="D10" i="1" s="1" a="1"/>
  <c r="C21" i="1" l="1"/>
  <c r="D10" i="1"/>
  <c r="C11" i="1" l="1"/>
  <c r="C22" i="1" s="1"/>
  <c r="D21" i="1"/>
  <c r="D11" i="1" l="1"/>
  <c r="D22" i="1" s="1"/>
  <c r="F22" i="1" s="1"/>
  <c r="F21" i="1"/>
  <c r="C12" i="1" l="1"/>
  <c r="C23" i="1" s="1"/>
  <c r="D12" i="1" l="1"/>
  <c r="D23" i="1" l="1"/>
  <c r="F23" i="1" s="1"/>
  <c r="C13" i="1"/>
  <c r="D13" i="1" l="1"/>
  <c r="C24" i="1"/>
  <c r="C14" i="1" l="1"/>
  <c r="D24" i="1"/>
  <c r="F24" i="1" s="1"/>
  <c r="D14" i="1" l="1"/>
  <c r="D25" i="1" s="1"/>
  <c r="C25" i="1"/>
  <c r="F25" i="1" l="1"/>
  <c r="D27" i="1"/>
</calcChain>
</file>

<file path=xl/sharedStrings.xml><?xml version="1.0" encoding="utf-8"?>
<sst xmlns="http://schemas.openxmlformats.org/spreadsheetml/2006/main" count="21" uniqueCount="21">
  <si>
    <t>Мін=</t>
  </si>
  <si>
    <t>різниця інтервалів</t>
  </si>
  <si>
    <t>=</t>
  </si>
  <si>
    <t>Макс=</t>
  </si>
  <si>
    <t>ДОВ. ІНТЕРВАЛ</t>
  </si>
  <si>
    <t>Ексес</t>
  </si>
  <si>
    <t>Асиметрія</t>
  </si>
  <si>
    <t>Xcp=</t>
  </si>
  <si>
    <t>M(x)=</t>
  </si>
  <si>
    <t>D(x)=</t>
  </si>
  <si>
    <t>ІНТЕРВАЛИ</t>
  </si>
  <si>
    <t>f(x)=</t>
  </si>
  <si>
    <t>F(x)=</t>
  </si>
  <si>
    <r>
      <rPr>
        <sz val="11"/>
        <color rgb="FF9C0006"/>
        <rFont val="Symbol"/>
        <family val="1"/>
        <charset val="2"/>
      </rPr>
      <t>S</t>
    </r>
    <r>
      <rPr>
        <sz val="11"/>
        <color rgb="FF9C0006"/>
        <rFont val="Calibri"/>
        <family val="2"/>
        <charset val="204"/>
        <scheme val="minor"/>
      </rPr>
      <t>=</t>
    </r>
  </si>
  <si>
    <r>
      <rPr>
        <sz val="11"/>
        <color rgb="FF9C0006"/>
        <rFont val="Symbol"/>
        <family val="1"/>
        <charset val="2"/>
      </rPr>
      <t>s</t>
    </r>
    <r>
      <rPr>
        <sz val="11"/>
        <color rgb="FF9C0006"/>
        <rFont val="Calibri"/>
        <family val="2"/>
        <charset val="204"/>
        <scheme val="minor"/>
      </rPr>
      <t>(x)=</t>
    </r>
  </si>
  <si>
    <t>P(i)</t>
  </si>
  <si>
    <t>НОРМАЛЬНИЙ РОЗПОДІЛ</t>
  </si>
  <si>
    <r>
      <t>mi(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charset val="204"/>
        <scheme val="minor"/>
      </rPr>
      <t>X)</t>
    </r>
  </si>
  <si>
    <t>Xmin</t>
  </si>
  <si>
    <t>Xmax</t>
  </si>
  <si>
    <t>Xicp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</si>
</sst>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9C0006"/>
      <name val="Symbol"/>
      <family val="1"/>
      <charset val="2"/>
    </font>
    <font>
      <sz val="11"/>
      <color rgb="FF0061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</fills>
  <borders count="3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</cellStyleXfs>
  <cellXfs count="41">
    <xf numFmtId="0" fontId="0" fillId="0" borderId="0" xfId="0"/>
    <xf numFmtId="0" fontId="0" fillId="0" borderId="4" xfId="0" applyBorder="1"/>
    <xf numFmtId="0" fontId="0" fillId="0" borderId="5" xfId="0" applyBorder="1"/>
    <xf numFmtId="0" fontId="2" fillId="2" borderId="4" xfId="1" applyBorder="1"/>
    <xf numFmtId="0" fontId="2" fillId="2" borderId="5" xfId="1" applyBorder="1"/>
    <xf numFmtId="0" fontId="3" fillId="3" borderId="7" xfId="2" applyFont="1" applyBorder="1"/>
    <xf numFmtId="0" fontId="3" fillId="3" borderId="8" xfId="2" applyFont="1" applyBorder="1"/>
    <xf numFmtId="0" fontId="3" fillId="3" borderId="9" xfId="2" applyFont="1" applyBorder="1" applyAlignment="1">
      <alignment horizontal="center"/>
    </xf>
    <xf numFmtId="0" fontId="3" fillId="3" borderId="10" xfId="2" applyFont="1" applyBorder="1"/>
    <xf numFmtId="0" fontId="2" fillId="2" borderId="3" xfId="1" applyBorder="1" applyAlignment="1">
      <alignment horizontal="right"/>
    </xf>
    <xf numFmtId="0" fontId="2" fillId="2" borderId="6" xfId="1" applyBorder="1" applyAlignment="1">
      <alignment horizontal="center"/>
    </xf>
    <xf numFmtId="0" fontId="5" fillId="5" borderId="1" xfId="4" applyBorder="1" applyAlignment="1">
      <alignment horizontal="center" vertical="top" wrapText="1"/>
    </xf>
    <xf numFmtId="0" fontId="1" fillId="3" borderId="13" xfId="2" applyBorder="1" applyProtection="1">
      <protection hidden="1"/>
    </xf>
    <xf numFmtId="0" fontId="1" fillId="3" borderId="15" xfId="2" applyBorder="1" applyProtection="1">
      <protection hidden="1"/>
    </xf>
    <xf numFmtId="0" fontId="1" fillId="3" borderId="17" xfId="2" applyBorder="1" applyProtection="1">
      <protection hidden="1"/>
    </xf>
    <xf numFmtId="2" fontId="5" fillId="3" borderId="2" xfId="2" applyNumberFormat="1" applyFont="1"/>
    <xf numFmtId="0" fontId="2" fillId="2" borderId="12" xfId="1" applyBorder="1" applyAlignment="1" applyProtection="1">
      <alignment horizontal="right"/>
      <protection hidden="1"/>
    </xf>
    <xf numFmtId="0" fontId="2" fillId="2" borderId="14" xfId="1" applyBorder="1" applyAlignment="1" applyProtection="1">
      <alignment horizontal="right"/>
      <protection hidden="1"/>
    </xf>
    <xf numFmtId="0" fontId="2" fillId="2" borderId="14" xfId="1" applyBorder="1" applyProtection="1">
      <protection hidden="1"/>
    </xf>
    <xf numFmtId="0" fontId="2" fillId="2" borderId="16" xfId="1" applyBorder="1" applyProtection="1">
      <protection hidden="1"/>
    </xf>
    <xf numFmtId="0" fontId="2" fillId="2" borderId="16" xfId="1" applyBorder="1" applyAlignment="1">
      <alignment horizontal="right"/>
    </xf>
    <xf numFmtId="0" fontId="0" fillId="0" borderId="19" xfId="0" applyBorder="1"/>
    <xf numFmtId="0" fontId="0" fillId="3" borderId="21" xfId="2" applyFont="1" applyBorder="1"/>
    <xf numFmtId="0" fontId="0" fillId="3" borderId="22" xfId="2" applyFont="1" applyBorder="1"/>
    <xf numFmtId="0" fontId="0" fillId="3" borderId="23" xfId="2" applyFont="1" applyBorder="1"/>
    <xf numFmtId="0" fontId="6" fillId="4" borderId="18" xfId="3" applyFont="1" applyBorder="1"/>
    <xf numFmtId="0" fontId="6" fillId="4" borderId="20" xfId="3" applyFont="1" applyBorder="1"/>
    <xf numFmtId="0" fontId="2" fillId="2" borderId="24" xfId="1" applyBorder="1"/>
    <xf numFmtId="0" fontId="6" fillId="4" borderId="29" xfId="3" applyFont="1" applyBorder="1"/>
    <xf numFmtId="0" fontId="0" fillId="0" borderId="30" xfId="0" applyBorder="1"/>
    <xf numFmtId="0" fontId="2" fillId="2" borderId="31" xfId="1" applyBorder="1"/>
    <xf numFmtId="0" fontId="0" fillId="0" borderId="12" xfId="0" applyBorder="1"/>
    <xf numFmtId="0" fontId="0" fillId="0" borderId="13" xfId="0" applyBorder="1"/>
    <xf numFmtId="0" fontId="2" fillId="2" borderId="17" xfId="1" applyBorder="1" applyAlignment="1">
      <alignment horizontal="left"/>
    </xf>
    <xf numFmtId="0" fontId="1" fillId="4" borderId="0" xfId="3"/>
    <xf numFmtId="0" fontId="5" fillId="3" borderId="2" xfId="2" applyFont="1" applyAlignment="1">
      <alignment horizontal="left"/>
    </xf>
    <xf numFmtId="0" fontId="1" fillId="6" borderId="28" xfId="5" applyBorder="1" applyAlignment="1">
      <alignment horizontal="left"/>
    </xf>
    <xf numFmtId="0" fontId="0" fillId="0" borderId="11" xfId="0" applyBorder="1" applyAlignment="1">
      <alignment horizontal="center"/>
    </xf>
    <xf numFmtId="0" fontId="7" fillId="2" borderId="25" xfId="1" applyFont="1" applyBorder="1" applyAlignment="1">
      <alignment horizontal="center"/>
    </xf>
    <xf numFmtId="0" fontId="7" fillId="2" borderId="26" xfId="1" applyFont="1" applyBorder="1" applyAlignment="1">
      <alignment horizontal="center"/>
    </xf>
    <xf numFmtId="0" fontId="7" fillId="2" borderId="27" xfId="1" applyFont="1" applyBorder="1" applyAlignment="1">
      <alignment horizontal="center"/>
    </xf>
  </cellXfs>
  <cellStyles count="6">
    <cellStyle name="40% - Accent1" xfId="5" builtinId="31"/>
    <cellStyle name="40% - Accent2" xfId="3" builtinId="35"/>
    <cellStyle name="Bad" xfId="1" builtinId="27"/>
    <cellStyle name="Good" xfId="4" builtinId="26"/>
    <cellStyle name="Normal" xfId="0" builtinId="0"/>
    <cellStyle name="Note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</a:p>
        </c:rich>
      </c:tx>
      <c:layout>
        <c:manualLayout>
          <c:xMode val="edge"/>
          <c:yMode val="edge"/>
          <c:x val="2.8910933972979596E-2"/>
          <c:y val="3.72960372960372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224409448819029E-2"/>
          <c:y val="0.17628499562554681"/>
          <c:w val="0.8694006999125109"/>
          <c:h val="0.68921660834062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'Розподіл Гауса'!$C$25</c:f>
              <c:strCache>
                <c:ptCount val="1"/>
                <c:pt idx="0">
                  <c:v>345,81</c:v>
                </c:pt>
              </c:strCache>
            </c:strRef>
          </c:tx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FF-4541-89A5-0F326E083DB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'Розподіл Гауса'!$C$21:$C$25</c:f>
              <c:numCache>
                <c:formatCode>General</c:formatCode>
                <c:ptCount val="5"/>
                <c:pt idx="0">
                  <c:v>345.09</c:v>
                </c:pt>
                <c:pt idx="1">
                  <c:v>345.27</c:v>
                </c:pt>
                <c:pt idx="2">
                  <c:v>345.45</c:v>
                </c:pt>
                <c:pt idx="3">
                  <c:v>345.63</c:v>
                </c:pt>
                <c:pt idx="4">
                  <c:v>345.81</c:v>
                </c:pt>
              </c:numCache>
            </c:numRef>
          </c:xVal>
          <c:yVal>
            <c:numRef>
              <c:f>'Розподіл Гауса'!$F$21:$F$25</c:f>
              <c:numCache>
                <c:formatCode>General</c:formatCode>
                <c:ptCount val="5"/>
                <c:pt idx="0">
                  <c:v>0.14000000000000001</c:v>
                </c:pt>
                <c:pt idx="1">
                  <c:v>0.28000000000000003</c:v>
                </c:pt>
                <c:pt idx="2">
                  <c:v>0.02</c:v>
                </c:pt>
                <c:pt idx="3">
                  <c:v>0</c:v>
                </c:pt>
                <c:pt idx="4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91-43A8-9C94-DAD1C994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16000"/>
        <c:axId val="115638272"/>
      </c:scatterChart>
      <c:valAx>
        <c:axId val="11561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638272"/>
        <c:crosses val="autoZero"/>
        <c:crossBetween val="midCat"/>
      </c:valAx>
      <c:valAx>
        <c:axId val="11563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61600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1</xdr:row>
      <xdr:rowOff>161924</xdr:rowOff>
    </xdr:from>
    <xdr:to>
      <xdr:col>15</xdr:col>
      <xdr:colOff>66675</xdr:colOff>
      <xdr:row>22</xdr:row>
      <xdr:rowOff>180974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0.86305</cdr:x>
      <cdr:y>0.93271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2624" y="3829051"/>
          <a:ext cx="914400" cy="276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/>
            <a:t>X</a:t>
          </a:r>
          <a:r>
            <a:rPr lang="en-US" sz="1100" b="1"/>
            <a:t>icp</a:t>
          </a:r>
          <a:endParaRPr lang="uk-UA" sz="1100" b="1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"/>
  <sheetViews>
    <sheetView tabSelected="1" zoomScale="70" zoomScaleNormal="70" workbookViewId="0">
      <selection activeCell="F10" sqref="F10"/>
    </sheetView>
  </sheetViews>
  <sheetFormatPr defaultRowHeight="14.5" x14ac:dyDescent="0.35"/>
  <cols>
    <col min="2" max="2" width="18.81640625" customWidth="1"/>
    <col min="5" max="5" width="10.81640625" customWidth="1"/>
    <col min="9" max="9" width="10.453125" customWidth="1"/>
    <col min="11" max="11" width="17.7265625" customWidth="1"/>
    <col min="12" max="12" width="20" customWidth="1"/>
    <col min="13" max="13" width="12.7265625" bestFit="1" customWidth="1"/>
  </cols>
  <sheetData>
    <row r="1" spans="1:4" ht="15" thickBot="1" x14ac:dyDescent="0.4">
      <c r="A1" s="11">
        <v>345.2</v>
      </c>
      <c r="C1" s="9" t="s">
        <v>0</v>
      </c>
      <c r="D1" s="5">
        <f>MIN(A1:A50)</f>
        <v>345</v>
      </c>
    </row>
    <row r="2" spans="1:4" ht="15" thickBot="1" x14ac:dyDescent="0.4">
      <c r="A2" s="11">
        <v>345.23</v>
      </c>
      <c r="C2" s="9" t="s">
        <v>3</v>
      </c>
      <c r="D2" s="6">
        <f>MAX(A1:A50)</f>
        <v>345.9</v>
      </c>
    </row>
    <row r="3" spans="1:4" ht="15" thickBot="1" x14ac:dyDescent="0.4">
      <c r="A3" s="11">
        <v>345.24</v>
      </c>
      <c r="C3" s="1"/>
      <c r="D3" s="2"/>
    </row>
    <row r="4" spans="1:4" ht="15" thickBot="1" x14ac:dyDescent="0.4">
      <c r="A4" s="11">
        <v>345.4</v>
      </c>
      <c r="B4" s="10" t="s">
        <v>1</v>
      </c>
      <c r="C4" s="7" t="s">
        <v>2</v>
      </c>
      <c r="D4" s="8">
        <f>(D2-D1)/5</f>
        <v>0.17999999999999544</v>
      </c>
    </row>
    <row r="5" spans="1:4" x14ac:dyDescent="0.35">
      <c r="A5" s="11">
        <v>345</v>
      </c>
    </row>
    <row r="6" spans="1:4" x14ac:dyDescent="0.35">
      <c r="A6" s="11">
        <v>345.2</v>
      </c>
    </row>
    <row r="7" spans="1:4" x14ac:dyDescent="0.35">
      <c r="A7" s="11">
        <v>345.2</v>
      </c>
    </row>
    <row r="8" spans="1:4" ht="15" thickBot="1" x14ac:dyDescent="0.4">
      <c r="A8" s="11">
        <v>345</v>
      </c>
      <c r="C8" s="37" t="s">
        <v>10</v>
      </c>
      <c r="D8" s="37"/>
    </row>
    <row r="9" spans="1:4" ht="15" thickBot="1" x14ac:dyDescent="0.4">
      <c r="A9" s="11">
        <v>345.23</v>
      </c>
      <c r="C9" s="3" t="s">
        <v>18</v>
      </c>
      <c r="D9" s="4" t="s">
        <v>19</v>
      </c>
    </row>
    <row r="10" spans="1:4" x14ac:dyDescent="0.35">
      <c r="A10" s="11">
        <v>345.2</v>
      </c>
      <c r="B10">
        <v>1</v>
      </c>
      <c r="C10" s="15">
        <f>D1</f>
        <v>345</v>
      </c>
      <c r="D10" s="15">
        <f t="array" ref="D10">C10+D4</f>
        <v>345.18</v>
      </c>
    </row>
    <row r="11" spans="1:4" x14ac:dyDescent="0.35">
      <c r="A11" s="11">
        <v>345.24</v>
      </c>
      <c r="B11">
        <v>2</v>
      </c>
      <c r="C11" s="15">
        <f>D10</f>
        <v>345.18</v>
      </c>
      <c r="D11" s="15">
        <f>C11+D4</f>
        <v>345.36</v>
      </c>
    </row>
    <row r="12" spans="1:4" x14ac:dyDescent="0.35">
      <c r="A12" s="11">
        <v>345.2</v>
      </c>
      <c r="B12">
        <v>3</v>
      </c>
      <c r="C12" s="15">
        <f>D11</f>
        <v>345.36</v>
      </c>
      <c r="D12" s="15">
        <f>C12+D4</f>
        <v>345.54</v>
      </c>
    </row>
    <row r="13" spans="1:4" x14ac:dyDescent="0.35">
      <c r="A13" s="11">
        <v>345.23</v>
      </c>
      <c r="B13">
        <v>4</v>
      </c>
      <c r="C13" s="15">
        <f t="shared" ref="C13" si="0">D12</f>
        <v>345.54</v>
      </c>
      <c r="D13" s="15">
        <f>C13+D4</f>
        <v>345.72</v>
      </c>
    </row>
    <row r="14" spans="1:4" x14ac:dyDescent="0.35">
      <c r="A14" s="11">
        <v>345.3</v>
      </c>
      <c r="B14">
        <v>5</v>
      </c>
      <c r="C14" s="15">
        <f>D13</f>
        <v>345.72</v>
      </c>
      <c r="D14" s="15">
        <f>C14+D4</f>
        <v>345.90000000000003</v>
      </c>
    </row>
    <row r="15" spans="1:4" x14ac:dyDescent="0.35">
      <c r="A15" s="11">
        <v>345.24</v>
      </c>
    </row>
    <row r="16" spans="1:4" x14ac:dyDescent="0.35">
      <c r="A16" s="11">
        <v>345.1</v>
      </c>
    </row>
    <row r="17" spans="1:12" x14ac:dyDescent="0.35">
      <c r="A17" s="11">
        <v>345.23</v>
      </c>
    </row>
    <row r="18" spans="1:12" ht="15" thickBot="1" x14ac:dyDescent="0.4">
      <c r="A18" s="11">
        <v>345.1</v>
      </c>
    </row>
    <row r="19" spans="1:12" x14ac:dyDescent="0.35">
      <c r="A19" s="11">
        <v>345.1</v>
      </c>
      <c r="C19" s="38" t="s">
        <v>16</v>
      </c>
      <c r="D19" s="39"/>
      <c r="E19" s="39"/>
      <c r="F19" s="40"/>
    </row>
    <row r="20" spans="1:12" ht="15" thickBot="1" x14ac:dyDescent="0.4">
      <c r="A20" s="11">
        <v>345.2</v>
      </c>
      <c r="C20" s="28" t="s">
        <v>20</v>
      </c>
      <c r="D20" s="25" t="s">
        <v>17</v>
      </c>
      <c r="E20" s="34"/>
      <c r="F20" s="26" t="s">
        <v>15</v>
      </c>
    </row>
    <row r="21" spans="1:12" ht="15" thickBot="1" x14ac:dyDescent="0.4">
      <c r="A21" s="11">
        <v>345.1</v>
      </c>
      <c r="B21">
        <v>1</v>
      </c>
      <c r="C21" s="35">
        <f>C10+D4/2</f>
        <v>345.09</v>
      </c>
      <c r="D21" s="36">
        <f>COUNTIFS(A1:A50,"&lt;="&amp;D10)</f>
        <v>7</v>
      </c>
      <c r="F21" s="22">
        <f>D21/50</f>
        <v>0.14000000000000001</v>
      </c>
    </row>
    <row r="22" spans="1:12" ht="15" thickBot="1" x14ac:dyDescent="0.4">
      <c r="A22" s="11">
        <v>345.8</v>
      </c>
      <c r="B22">
        <v>2</v>
      </c>
      <c r="C22" s="35">
        <f>C11+D4/2</f>
        <v>345.27</v>
      </c>
      <c r="D22" s="36">
        <f>COUNTIFS(A1:A50,"&lt;="&amp;D11)-COUNTIFS(A1:A50,"&lt;="&amp;C11)</f>
        <v>14</v>
      </c>
      <c r="F22" s="23">
        <f>D22/50</f>
        <v>0.28000000000000003</v>
      </c>
    </row>
    <row r="23" spans="1:12" ht="15" thickBot="1" x14ac:dyDescent="0.4">
      <c r="A23" s="11">
        <v>345.9</v>
      </c>
      <c r="B23">
        <v>3</v>
      </c>
      <c r="C23" s="35">
        <f>C12+D4/2</f>
        <v>345.45</v>
      </c>
      <c r="D23" s="36">
        <f>COUNTIFS(A1:A50,"&lt;="&amp;D12)-COUNTIFS(A1:A50,"&lt;="&amp;C12)</f>
        <v>1</v>
      </c>
      <c r="F23" s="23">
        <f>D23/50</f>
        <v>0.02</v>
      </c>
    </row>
    <row r="24" spans="1:12" ht="15" thickBot="1" x14ac:dyDescent="0.4">
      <c r="A24" s="11">
        <v>345.1</v>
      </c>
      <c r="B24">
        <v>4</v>
      </c>
      <c r="C24" s="35">
        <f>C13+D4/2</f>
        <v>345.63</v>
      </c>
      <c r="D24" s="36">
        <f>COUNTIFS(A1:A50,"&lt;="&amp;D13)-COUNTIFS(A1:A50,"&lt;="&amp;C13)</f>
        <v>0</v>
      </c>
      <c r="F24" s="23">
        <f>D24/50</f>
        <v>0</v>
      </c>
    </row>
    <row r="25" spans="1:12" ht="15" thickBot="1" x14ac:dyDescent="0.4">
      <c r="A25" s="11"/>
      <c r="B25">
        <v>5</v>
      </c>
      <c r="C25" s="35">
        <f>C14+D4/2</f>
        <v>345.81</v>
      </c>
      <c r="D25" s="36">
        <f>COUNTIFS(A1:A50,"&lt;="&amp;D14)-COUNTIFS(A1:A50,"&lt;="&amp;C14)</f>
        <v>2</v>
      </c>
      <c r="F25" s="24">
        <f>D25/50</f>
        <v>0.04</v>
      </c>
      <c r="K25" s="16" t="s">
        <v>7</v>
      </c>
      <c r="L25" s="12">
        <f>AVERAGE(A1:A50)</f>
        <v>345.23916666666673</v>
      </c>
    </row>
    <row r="26" spans="1:12" x14ac:dyDescent="0.35">
      <c r="A26" s="11"/>
      <c r="C26" s="31"/>
      <c r="D26" s="32"/>
      <c r="E26" s="29"/>
      <c r="F26" s="21"/>
      <c r="K26" s="17" t="s">
        <v>8</v>
      </c>
      <c r="L26" s="13">
        <f>MEDIAN(A1:A50)</f>
        <v>345.2</v>
      </c>
    </row>
    <row r="27" spans="1:12" ht="15" thickBot="1" x14ac:dyDescent="0.4">
      <c r="A27" s="11"/>
      <c r="C27" s="20" t="s">
        <v>13</v>
      </c>
      <c r="D27" s="33">
        <f>SUM(D21:D25)</f>
        <v>24</v>
      </c>
      <c r="E27" s="30"/>
      <c r="F27" s="27"/>
      <c r="K27" s="17" t="s">
        <v>9</v>
      </c>
      <c r="L27" s="13">
        <f>VAR(A1:A50)</f>
        <v>4.3547101449273151E-2</v>
      </c>
    </row>
    <row r="28" spans="1:12" x14ac:dyDescent="0.35">
      <c r="A28" s="11"/>
      <c r="K28" s="17" t="s">
        <v>14</v>
      </c>
      <c r="L28" s="13">
        <f>STDEV(A1:A50)</f>
        <v>0.20867942267811926</v>
      </c>
    </row>
    <row r="29" spans="1:12" x14ac:dyDescent="0.35">
      <c r="A29" s="11"/>
      <c r="K29" s="17" t="s">
        <v>11</v>
      </c>
      <c r="L29" s="13">
        <f>NORMDIST(A1:A50,A1:A50,L28,B15)</f>
        <v>1.9117470964867833</v>
      </c>
    </row>
    <row r="30" spans="1:12" x14ac:dyDescent="0.35">
      <c r="A30" s="11"/>
      <c r="K30" s="17" t="s">
        <v>12</v>
      </c>
      <c r="L30" s="13">
        <f>FDIST(A1:A50,1,1)</f>
        <v>1</v>
      </c>
    </row>
    <row r="31" spans="1:12" x14ac:dyDescent="0.35">
      <c r="A31" s="11"/>
      <c r="K31" s="18" t="s">
        <v>6</v>
      </c>
      <c r="L31" s="13">
        <f>SKEW(A1:A50)</f>
        <v>2.2348072960359207</v>
      </c>
    </row>
    <row r="32" spans="1:12" x14ac:dyDescent="0.35">
      <c r="A32" s="11"/>
      <c r="K32" s="18" t="s">
        <v>5</v>
      </c>
      <c r="L32" s="13">
        <f>KURT(A1:A50)</f>
        <v>5.4606065305721927</v>
      </c>
    </row>
    <row r="33" spans="1:12" ht="15" thickBot="1" x14ac:dyDescent="0.4">
      <c r="A33" s="11"/>
      <c r="K33" s="19" t="s">
        <v>4</v>
      </c>
      <c r="L33" s="14">
        <f>CONFIDENCE(0.05,L28,50)</f>
        <v>5.7841921990537663E-2</v>
      </c>
    </row>
    <row r="34" spans="1:12" x14ac:dyDescent="0.35">
      <c r="A34" s="11"/>
    </row>
    <row r="35" spans="1:12" x14ac:dyDescent="0.35">
      <c r="A35" s="11"/>
    </row>
    <row r="36" spans="1:12" x14ac:dyDescent="0.35">
      <c r="A36" s="11"/>
    </row>
    <row r="37" spans="1:12" x14ac:dyDescent="0.35">
      <c r="A37" s="11"/>
    </row>
    <row r="38" spans="1:12" x14ac:dyDescent="0.35">
      <c r="A38" s="11"/>
    </row>
    <row r="39" spans="1:12" x14ac:dyDescent="0.35">
      <c r="A39" s="11"/>
    </row>
    <row r="40" spans="1:12" x14ac:dyDescent="0.35">
      <c r="A40" s="11"/>
    </row>
    <row r="41" spans="1:12" x14ac:dyDescent="0.35">
      <c r="A41" s="11"/>
    </row>
    <row r="42" spans="1:12" x14ac:dyDescent="0.35">
      <c r="A42" s="11"/>
    </row>
    <row r="43" spans="1:12" x14ac:dyDescent="0.35">
      <c r="A43" s="11"/>
    </row>
    <row r="44" spans="1:12" x14ac:dyDescent="0.35">
      <c r="A44" s="11"/>
    </row>
    <row r="45" spans="1:12" x14ac:dyDescent="0.35">
      <c r="A45" s="11"/>
    </row>
    <row r="46" spans="1:12" x14ac:dyDescent="0.35">
      <c r="A46" s="11"/>
    </row>
    <row r="47" spans="1:12" x14ac:dyDescent="0.35">
      <c r="A47" s="11"/>
    </row>
    <row r="48" spans="1:12" x14ac:dyDescent="0.35">
      <c r="A48" s="11"/>
    </row>
    <row r="49" spans="1:1" x14ac:dyDescent="0.35">
      <c r="A49" s="11"/>
    </row>
    <row r="50" spans="1:1" x14ac:dyDescent="0.35">
      <c r="A50" s="11"/>
    </row>
  </sheetData>
  <sortState xmlns:xlrd2="http://schemas.microsoft.com/office/spreadsheetml/2017/richdata2" ref="O1:O50">
    <sortCondition descending="1" ref="O1"/>
  </sortState>
  <mergeCells count="2">
    <mergeCell ref="C8:D8"/>
    <mergeCell ref="C19:F19"/>
  </mergeCells>
  <pageMargins left="0.7" right="0.7" top="0.75" bottom="0.75" header="0.3" footer="0.3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Розподіл Гауса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lina</dc:creator>
  <cp:lastModifiedBy>Pavlo Vezdel</cp:lastModifiedBy>
  <dcterms:created xsi:type="dcterms:W3CDTF">2018-08-30T14:33:25Z</dcterms:created>
  <dcterms:modified xsi:type="dcterms:W3CDTF">2025-03-31T10:37:14Z</dcterms:modified>
</cp:coreProperties>
</file>